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2" pivotButton="0" quotePrefix="0" xfId="0"/>
    <xf numFmtId="16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Comparison per Book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Overview'!B4</f>
            </strRef>
          </tx>
          <spPr>
            <a:ln>
              <a:prstDash val="solid"/>
            </a:ln>
          </spPr>
          <cat>
            <numRef>
              <f>'Market Overview'!$A$5:$A$44</f>
            </numRef>
          </cat>
          <val>
            <numRef>
              <f>'Market Overview'!$B$5:$B$44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Book Titles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(£)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workbookViewId="0">
      <selection activeCell="A1" sqref="A1"/>
    </sheetView>
  </sheetViews>
  <sheetFormatPr baseColWidth="8" defaultRowHeight="15"/>
  <cols>
    <col width="178" customWidth="1" min="1" max="1"/>
    <col width="19" customWidth="1" min="2" max="2"/>
    <col width="45" customWidth="1" min="3" max="3"/>
  </cols>
  <sheetData>
    <row r="1">
      <c r="A1" s="1" t="inlineStr">
        <is>
          <t>Automated Book Market Analysis</t>
        </is>
      </c>
    </row>
    <row r="2"/>
    <row r="3">
      <c r="A3" t="inlineStr">
        <is>
          <t>Book Title</t>
        </is>
      </c>
      <c r="B3" t="inlineStr">
        <is>
          <t>Price (GBP)</t>
        </is>
      </c>
      <c r="C3" t="inlineStr">
        <is>
          <t>Status Assessment</t>
        </is>
      </c>
    </row>
    <row r="4">
      <c r="A4" s="2" t="n"/>
      <c r="B4" s="3" t="n"/>
      <c r="C4" s="3" t="n"/>
    </row>
    <row r="5">
      <c r="A5" s="4" t="inlineStr">
        <is>
          <t>A Light in the Attic</t>
        </is>
      </c>
      <c r="B5" s="5" t="n">
        <v>51.77</v>
      </c>
      <c r="C5" s="6">
        <f>IF(B5&gt;40, "Premium Tier", "Budget Tier")</f>
        <v/>
      </c>
    </row>
    <row r="6">
      <c r="A6" s="7" t="inlineStr">
        <is>
          <t>Tipping the Velvet</t>
        </is>
      </c>
      <c r="B6" s="8" t="n">
        <v>53.74</v>
      </c>
      <c r="C6" s="9">
        <f>IF(B6&gt;40, "Premium Tier", "Budget Tier")</f>
        <v/>
      </c>
    </row>
    <row r="7">
      <c r="A7" s="4" t="inlineStr">
        <is>
          <t>Soumission</t>
        </is>
      </c>
      <c r="B7" s="5" t="n">
        <v>50.1</v>
      </c>
      <c r="C7" s="6">
        <f>IF(B7&gt;40, "Premium Tier", "Budget Tier")</f>
        <v/>
      </c>
    </row>
    <row r="8">
      <c r="A8" s="7" t="inlineStr">
        <is>
          <t>Sharp Objects</t>
        </is>
      </c>
      <c r="B8" s="8" t="n">
        <v>47.82</v>
      </c>
      <c r="C8" s="9">
        <f>IF(B8&gt;40, "Premium Tier", "Budget Tier")</f>
        <v/>
      </c>
    </row>
    <row r="9">
      <c r="A9" s="4" t="inlineStr">
        <is>
          <t>Sapiens: A Brief History of Humankind</t>
        </is>
      </c>
      <c r="B9" s="5" t="n">
        <v>54.23</v>
      </c>
      <c r="C9" s="6">
        <f>IF(B9&gt;40, "Premium Tier", "Budget Tier")</f>
        <v/>
      </c>
    </row>
    <row r="10">
      <c r="A10" s="7" t="inlineStr">
        <is>
          <t>The Requiem Red</t>
        </is>
      </c>
      <c r="B10" s="8" t="n">
        <v>22.65</v>
      </c>
      <c r="C10" s="9">
        <f>IF(B10&gt;40, "Premium Tier", "Budget Tier")</f>
        <v/>
      </c>
    </row>
    <row r="11">
      <c r="A11" s="4" t="inlineStr">
        <is>
          <t>The Dirty Little Secrets of Getting Your Dream Job</t>
        </is>
      </c>
      <c r="B11" s="5" t="n">
        <v>33.34</v>
      </c>
      <c r="C11" s="6">
        <f>IF(B11&gt;40, "Premium Tier", "Budget Tier")</f>
        <v/>
      </c>
    </row>
    <row r="12">
      <c r="A12" s="7" t="inlineStr">
        <is>
          <t>The Coming Woman: A Novel Based on the Life of the Infamous Feminist, Victoria Woodhull</t>
        </is>
      </c>
      <c r="B12" s="8" t="n">
        <v>17.93</v>
      </c>
      <c r="C12" s="9">
        <f>IF(B12&gt;40, "Premium Tier", "Budget Tier")</f>
        <v/>
      </c>
    </row>
    <row r="13">
      <c r="A13" s="4" t="inlineStr">
        <is>
          <t>The Boys in the Boat: Nine Americans and Their Epic Quest for Gold at the 1936 Berlin Olympics</t>
        </is>
      </c>
      <c r="B13" s="5" t="n">
        <v>22.6</v>
      </c>
      <c r="C13" s="6">
        <f>IF(B13&gt;40, "Premium Tier", "Budget Tier")</f>
        <v/>
      </c>
    </row>
    <row r="14">
      <c r="A14" s="7" t="inlineStr">
        <is>
          <t>The Black Maria</t>
        </is>
      </c>
      <c r="B14" s="8" t="n">
        <v>52.15</v>
      </c>
      <c r="C14" s="9">
        <f>IF(B14&gt;40, "Premium Tier", "Budget Tier")</f>
        <v/>
      </c>
    </row>
    <row r="15">
      <c r="A15" s="4" t="inlineStr">
        <is>
          <t>Starving Hearts (Triangular Trade Trilogy, #1)</t>
        </is>
      </c>
      <c r="B15" s="5" t="n">
        <v>13.99</v>
      </c>
      <c r="C15" s="6">
        <f>IF(B15&gt;40, "Premium Tier", "Budget Tier")</f>
        <v/>
      </c>
    </row>
    <row r="16">
      <c r="A16" s="7" t="inlineStr">
        <is>
          <t>Shakespeare's Sonnets</t>
        </is>
      </c>
      <c r="B16" s="8" t="n">
        <v>20.66</v>
      </c>
      <c r="C16" s="9">
        <f>IF(B16&gt;40, "Premium Tier", "Budget Tier")</f>
        <v/>
      </c>
    </row>
    <row r="17">
      <c r="A17" s="4" t="inlineStr">
        <is>
          <t>Set Me Free</t>
        </is>
      </c>
      <c r="B17" s="5" t="n">
        <v>17.46</v>
      </c>
      <c r="C17" s="6">
        <f>IF(B17&gt;40, "Premium Tier", "Budget Tier")</f>
        <v/>
      </c>
    </row>
    <row r="18">
      <c r="A18" s="7" t="inlineStr">
        <is>
          <t>Scott Pilgrim's Precious Little Life (Scott Pilgrim #1)</t>
        </is>
      </c>
      <c r="B18" s="8" t="n">
        <v>52.29</v>
      </c>
      <c r="C18" s="9">
        <f>IF(B18&gt;40, "Premium Tier", "Budget Tier")</f>
        <v/>
      </c>
    </row>
    <row r="19">
      <c r="A19" s="4" t="inlineStr">
        <is>
          <t>Rip it Up and Start Again</t>
        </is>
      </c>
      <c r="B19" s="5" t="n">
        <v>35.02</v>
      </c>
      <c r="C19" s="6">
        <f>IF(B19&gt;40, "Premium Tier", "Budget Tier")</f>
        <v/>
      </c>
    </row>
    <row r="20">
      <c r="A20" s="7" t="inlineStr">
        <is>
          <t>Our Band Could Be Your Life: Scenes from the American Indie Underground, 1981-1991</t>
        </is>
      </c>
      <c r="B20" s="8" t="n">
        <v>57.25</v>
      </c>
      <c r="C20" s="9">
        <f>IF(B20&gt;40, "Premium Tier", "Budget Tier")</f>
        <v/>
      </c>
    </row>
    <row r="21">
      <c r="A21" s="4" t="inlineStr">
        <is>
          <t>Olio</t>
        </is>
      </c>
      <c r="B21" s="5" t="n">
        <v>23.88</v>
      </c>
      <c r="C21" s="6">
        <f>IF(B21&gt;40, "Premium Tier", "Budget Tier")</f>
        <v/>
      </c>
    </row>
    <row r="22">
      <c r="A22" s="7" t="inlineStr">
        <is>
          <t>Mesaerion: The Best Science Fiction Stories 1800-1849</t>
        </is>
      </c>
      <c r="B22" s="8" t="n">
        <v>37.59</v>
      </c>
      <c r="C22" s="9">
        <f>IF(B22&gt;40, "Premium Tier", "Budget Tier")</f>
        <v/>
      </c>
    </row>
    <row r="23">
      <c r="A23" s="4" t="inlineStr">
        <is>
          <t>Libertarianism for Beginners</t>
        </is>
      </c>
      <c r="B23" s="5" t="n">
        <v>51.33</v>
      </c>
      <c r="C23" s="6">
        <f>IF(B23&gt;40, "Premium Tier", "Budget Tier")</f>
        <v/>
      </c>
    </row>
    <row r="24">
      <c r="A24" s="7" t="inlineStr">
        <is>
          <t>It's Only the Himalayas</t>
        </is>
      </c>
      <c r="B24" s="8" t="n">
        <v>45.17</v>
      </c>
      <c r="C24" s="9">
        <f>IF(B24&gt;40, "Premium Tier", "Budget Tier")</f>
        <v/>
      </c>
    </row>
    <row r="25">
      <c r="A25" s="4" t="inlineStr">
        <is>
          <t>In Her Wake</t>
        </is>
      </c>
      <c r="B25" s="5" t="n">
        <v>12.84</v>
      </c>
      <c r="C25" s="6">
        <f>IF(B25&gt;40, "Premium Tier", "Budget Tier")</f>
        <v/>
      </c>
    </row>
    <row r="26">
      <c r="A26" s="7" t="inlineStr">
        <is>
          <t>How Music Works</t>
        </is>
      </c>
      <c r="B26" s="8" t="n">
        <v>37.32</v>
      </c>
      <c r="C26" s="9">
        <f>IF(B26&gt;40, "Premium Tier", "Budget Tier")</f>
        <v/>
      </c>
    </row>
    <row r="27">
      <c r="A27" s="4" t="inlineStr">
        <is>
          <t>Foolproof Preserving: A Guide to Small Batch Jams, Jellies, Pickles, Condiments, and More: A Foolproof Guide to Making Small Batch Jams, Jellies, Pickles, Condiments, and More</t>
        </is>
      </c>
      <c r="B27" s="5" t="n">
        <v>30.52</v>
      </c>
      <c r="C27" s="6">
        <f>IF(B27&gt;40, "Premium Tier", "Budget Tier")</f>
        <v/>
      </c>
    </row>
    <row r="28">
      <c r="A28" s="7" t="inlineStr">
        <is>
          <t>Chase Me (Paris Nights #2)</t>
        </is>
      </c>
      <c r="B28" s="8" t="n">
        <v>25.27</v>
      </c>
      <c r="C28" s="9">
        <f>IF(B28&gt;40, "Premium Tier", "Budget Tier")</f>
        <v/>
      </c>
    </row>
    <row r="29">
      <c r="A29" s="4" t="inlineStr">
        <is>
          <t>Black Dust</t>
        </is>
      </c>
      <c r="B29" s="5" t="n">
        <v>34.53</v>
      </c>
      <c r="C29" s="6">
        <f>IF(B29&gt;40, "Premium Tier", "Budget Tier")</f>
        <v/>
      </c>
    </row>
    <row r="30">
      <c r="A30" s="7" t="inlineStr">
        <is>
          <t>Birdsong: A Story in Pictures</t>
        </is>
      </c>
      <c r="B30" s="8" t="n">
        <v>54.64</v>
      </c>
      <c r="C30" s="9">
        <f>IF(B30&gt;40, "Premium Tier", "Budget Tier")</f>
        <v/>
      </c>
    </row>
    <row r="31">
      <c r="A31" s="4" t="inlineStr">
        <is>
          <t>America's Cradle of Quarterbacks: Western Pennsylvania's Football Factory from Johnny Unitas to Joe Montana</t>
        </is>
      </c>
      <c r="B31" s="5" t="n">
        <v>22.5</v>
      </c>
      <c r="C31" s="6">
        <f>IF(B31&gt;40, "Premium Tier", "Budget Tier")</f>
        <v/>
      </c>
    </row>
    <row r="32">
      <c r="A32" s="7" t="inlineStr">
        <is>
          <t>Aladdin and His Wonderful Lamp</t>
        </is>
      </c>
      <c r="B32" s="8" t="n">
        <v>53.13</v>
      </c>
      <c r="C32" s="9">
        <f>IF(B32&gt;40, "Premium Tier", "Budget Tier")</f>
        <v/>
      </c>
    </row>
    <row r="33">
      <c r="A33" s="4" t="inlineStr">
        <is>
          <t>Worlds Elsewhere: Journeys Around Shakespeareâs Globe</t>
        </is>
      </c>
      <c r="B33" s="5" t="n">
        <v>40.3</v>
      </c>
      <c r="C33" s="6">
        <f>IF(B33&gt;40, "Premium Tier", "Budget Tier")</f>
        <v/>
      </c>
    </row>
    <row r="34">
      <c r="A34" s="7" t="inlineStr">
        <is>
          <t>Wall and Piece</t>
        </is>
      </c>
      <c r="B34" s="8" t="n">
        <v>44.18</v>
      </c>
      <c r="C34" s="9">
        <f>IF(B34&gt;40, "Premium Tier", "Budget Tier")</f>
        <v/>
      </c>
    </row>
    <row r="35">
      <c r="A35" s="4" t="inlineStr">
        <is>
          <t>The Four Agreements: A Practical Guide to Personal Freedom</t>
        </is>
      </c>
      <c r="B35" s="5" t="n">
        <v>17.66</v>
      </c>
      <c r="C35" s="6">
        <f>IF(B35&gt;40, "Premium Tier", "Budget Tier")</f>
        <v/>
      </c>
    </row>
    <row r="36">
      <c r="A36" s="7" t="inlineStr">
        <is>
          <t>The Five Love Languages: How to Express Heartfelt Commitment to Your Mate</t>
        </is>
      </c>
      <c r="B36" s="8" t="n">
        <v>31.05</v>
      </c>
      <c r="C36" s="9">
        <f>IF(B36&gt;40, "Premium Tier", "Budget Tier")</f>
        <v/>
      </c>
    </row>
    <row r="37">
      <c r="A37" s="4" t="inlineStr">
        <is>
          <t>The Elephant Tree</t>
        </is>
      </c>
      <c r="B37" s="5" t="n">
        <v>23.82</v>
      </c>
      <c r="C37" s="6">
        <f>IF(B37&gt;40, "Premium Tier", "Budget Tier")</f>
        <v/>
      </c>
    </row>
    <row r="38">
      <c r="A38" s="7" t="inlineStr">
        <is>
          <t>The Bear and the Piano</t>
        </is>
      </c>
      <c r="B38" s="8" t="n">
        <v>36.89</v>
      </c>
      <c r="C38" s="9">
        <f>IF(B38&gt;40, "Premium Tier", "Budget Tier")</f>
        <v/>
      </c>
    </row>
    <row r="39">
      <c r="A39" s="4" t="inlineStr">
        <is>
          <t>Sophie's World</t>
        </is>
      </c>
      <c r="B39" s="5" t="n">
        <v>15.94</v>
      </c>
      <c r="C39" s="6">
        <f>IF(B39&gt;40, "Premium Tier", "Budget Tier")</f>
        <v/>
      </c>
    </row>
    <row r="40">
      <c r="A40" s="7" t="inlineStr">
        <is>
          <t>Penny Maybe</t>
        </is>
      </c>
      <c r="B40" s="8" t="n">
        <v>33.29</v>
      </c>
      <c r="C40" s="9">
        <f>IF(B40&gt;40, "Premium Tier", "Budget Tier")</f>
        <v/>
      </c>
    </row>
    <row r="41">
      <c r="A41" s="4" t="inlineStr">
        <is>
          <t>Maude (1883-1993):She Grew Up with the country</t>
        </is>
      </c>
      <c r="B41" s="5" t="n">
        <v>18.02</v>
      </c>
      <c r="C41" s="6">
        <f>IF(B41&gt;40, "Premium Tier", "Budget Tier")</f>
        <v/>
      </c>
    </row>
    <row r="42">
      <c r="A42" s="7" t="inlineStr">
        <is>
          <t>In a Dark, Dark Wood</t>
        </is>
      </c>
      <c r="B42" s="8" t="n">
        <v>19.63</v>
      </c>
      <c r="C42" s="9">
        <f>IF(B42&gt;40, "Premium Tier", "Budget Tier")</f>
        <v/>
      </c>
    </row>
    <row r="43">
      <c r="A43" s="4" t="inlineStr">
        <is>
          <t>Behind Closed Doors</t>
        </is>
      </c>
      <c r="B43" s="5" t="n">
        <v>52.22</v>
      </c>
      <c r="C43" s="6">
        <f>IF(B43&gt;40, "Premium Tier", "Budget Tier")</f>
        <v/>
      </c>
    </row>
    <row r="44">
      <c r="A44" s="7" t="inlineStr">
        <is>
          <t>You can't bury them all: Poems</t>
        </is>
      </c>
      <c r="B44" s="8" t="n">
        <v>33.63</v>
      </c>
      <c r="C44" s="9">
        <f>IF(B44&gt;40, "Premium Tier", "Budget Tier")</f>
        <v/>
      </c>
    </row>
    <row r="45">
      <c r="A45" s="10" t="inlineStr">
        <is>
          <t>Average Market Price</t>
        </is>
      </c>
      <c r="B45" s="11">
        <f>AVERAGE(B5:B44)</f>
        <v/>
      </c>
    </row>
  </sheetData>
  <mergeCells count="1">
    <mergeCell ref="A1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2026-06-17T14:58:50Z</dcterms:created>
  <dcterms:modified xsi:type="dcterms:W3CDTF">2026-06-17T14:58:50Z</dcterms:modified>
</cp:coreProperties>
</file>